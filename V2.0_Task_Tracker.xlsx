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追踪" sheetId="1" state="visible" r:id="rId1"/>
    <sheet xmlns:r="http://schemas.openxmlformats.org/officeDocument/2006/relationships" name="积分规则" sheetId="2" state="visible" r:id="rId2"/>
    <sheet xmlns:r="http://schemas.openxmlformats.org/officeDocument/2006/relationships" name="统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FFE082"/>
        <bgColor rgb="00FFE0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</cols>
  <sheetData>
    <row r="1">
      <c r="A1" s="1" t="inlineStr">
        <is>
          <t>任务 ID</t>
        </is>
      </c>
      <c r="B1" s="1" t="inlineStr">
        <is>
          <t>任务名称</t>
        </is>
      </c>
      <c r="C1" s="1" t="inlineStr">
        <is>
          <t>阶段</t>
        </is>
      </c>
      <c r="D1" s="1" t="inlineStr">
        <is>
          <t>预计耗时 (分钟)</t>
        </is>
      </c>
      <c r="E1" s="1" t="inlineStr">
        <is>
          <t>计划开始</t>
        </is>
      </c>
      <c r="F1" s="1" t="inlineStr">
        <is>
          <t>计划结束</t>
        </is>
      </c>
      <c r="G1" s="1" t="inlineStr">
        <is>
          <t>实际开始</t>
        </is>
      </c>
      <c r="H1" s="1" t="inlineStr">
        <is>
          <t>实际结束</t>
        </is>
      </c>
      <c r="I1" s="1" t="inlineStr">
        <is>
          <t>实际耗时 (分钟)</t>
        </is>
      </c>
      <c r="J1" s="1" t="inlineStr">
        <is>
          <t>状态</t>
        </is>
      </c>
      <c r="K1" s="1" t="inlineStr">
        <is>
          <t>积分</t>
        </is>
      </c>
    </row>
    <row r="2">
      <c r="A2" s="2" t="inlineStr">
        <is>
          <t>T1</t>
        </is>
      </c>
      <c r="B2" s="2" t="inlineStr">
        <is>
          <t>VLE 模块</t>
        </is>
      </c>
      <c r="C2" s="2" t="inlineStr">
        <is>
          <t>后端开发</t>
        </is>
      </c>
      <c r="D2" s="2" t="n">
        <v>20</v>
      </c>
      <c r="E2" s="2" t="inlineStr">
        <is>
          <t>12:15</t>
        </is>
      </c>
      <c r="F2" s="2" t="inlineStr">
        <is>
          <t>12:35</t>
        </is>
      </c>
      <c r="G2" s="2" t="inlineStr"/>
      <c r="H2" s="2" t="inlineStr"/>
      <c r="I2" s="2" t="inlineStr"/>
      <c r="J2" s="2" t="inlineStr">
        <is>
          <t>未开始</t>
        </is>
      </c>
      <c r="K2" s="2" t="n">
        <v>0</v>
      </c>
    </row>
    <row r="3">
      <c r="A3" s="2" t="inlineStr">
        <is>
          <t>T2</t>
        </is>
      </c>
      <c r="B3" s="2" t="inlineStr">
        <is>
          <t>分离器模块</t>
        </is>
      </c>
      <c r="C3" s="2" t="inlineStr">
        <is>
          <t>后端开发</t>
        </is>
      </c>
      <c r="D3" s="2" t="n">
        <v>20</v>
      </c>
      <c r="E3" s="2" t="inlineStr">
        <is>
          <t>12:35</t>
        </is>
      </c>
      <c r="F3" s="2" t="inlineStr">
        <is>
          <t>12:55</t>
        </is>
      </c>
      <c r="G3" s="2" t="inlineStr"/>
      <c r="H3" s="2" t="inlineStr"/>
      <c r="I3" s="2" t="inlineStr"/>
      <c r="J3" s="2" t="inlineStr">
        <is>
          <t>未开始</t>
        </is>
      </c>
      <c r="K3" s="2" t="n">
        <v>0</v>
      </c>
    </row>
    <row r="4">
      <c r="A4" s="2" t="inlineStr">
        <is>
          <t>T3</t>
        </is>
      </c>
      <c r="B4" s="2" t="inlineStr">
        <is>
          <t>涡轮一维设计</t>
        </is>
      </c>
      <c r="C4" s="2" t="inlineStr">
        <is>
          <t>后端开发</t>
        </is>
      </c>
      <c r="D4" s="2" t="n">
        <v>20</v>
      </c>
      <c r="E4" s="2" t="inlineStr">
        <is>
          <t>12:55</t>
        </is>
      </c>
      <c r="F4" s="2" t="inlineStr">
        <is>
          <t>13:15</t>
        </is>
      </c>
      <c r="G4" s="2" t="inlineStr"/>
      <c r="H4" s="2" t="inlineStr"/>
      <c r="I4" s="2" t="inlineStr"/>
      <c r="J4" s="2" t="inlineStr">
        <is>
          <t>未开始</t>
        </is>
      </c>
      <c r="K4" s="2" t="n">
        <v>0</v>
      </c>
    </row>
    <row r="5">
      <c r="A5" s="3" t="inlineStr">
        <is>
          <t>BREAK</t>
        </is>
      </c>
      <c r="B5" s="3" t="inlineStr">
        <is>
          <t>午休</t>
        </is>
      </c>
      <c r="C5" s="3" t="inlineStr">
        <is>
          <t>休息</t>
        </is>
      </c>
      <c r="D5" s="3" t="n">
        <v>10</v>
      </c>
      <c r="E5" s="3" t="inlineStr">
        <is>
          <t>13:15</t>
        </is>
      </c>
      <c r="F5" s="3" t="inlineStr">
        <is>
          <t>13:25</t>
        </is>
      </c>
      <c r="G5" s="3" t="inlineStr"/>
      <c r="H5" s="3" t="inlineStr"/>
      <c r="I5" s="3" t="inlineStr"/>
      <c r="J5" s="3" t="inlineStr">
        <is>
          <t>未开始</t>
        </is>
      </c>
      <c r="K5" s="3" t="n">
        <v>0</v>
      </c>
    </row>
    <row r="6">
      <c r="A6" s="2" t="inlineStr">
        <is>
          <t>T4</t>
        </is>
      </c>
      <c r="B6" s="2" t="inlineStr">
        <is>
          <t>流程节点+VLE API</t>
        </is>
      </c>
      <c r="C6" s="2" t="inlineStr">
        <is>
          <t>API 集成</t>
        </is>
      </c>
      <c r="D6" s="2" t="n">
        <v>10</v>
      </c>
      <c r="E6" s="2" t="inlineStr">
        <is>
          <t>13:25</t>
        </is>
      </c>
      <c r="F6" s="2" t="inlineStr">
        <is>
          <t>13:35</t>
        </is>
      </c>
      <c r="G6" s="2" t="inlineStr"/>
      <c r="H6" s="2" t="inlineStr"/>
      <c r="I6" s="2" t="inlineStr"/>
      <c r="J6" s="2" t="inlineStr">
        <is>
          <t>未开始</t>
        </is>
      </c>
      <c r="K6" s="2" t="n">
        <v>0</v>
      </c>
    </row>
    <row r="7">
      <c r="A7" s="2" t="inlineStr">
        <is>
          <t>T5</t>
        </is>
      </c>
      <c r="B7" s="2" t="inlineStr">
        <is>
          <t>分离器 + 涡轮 API</t>
        </is>
      </c>
      <c r="C7" s="2" t="inlineStr">
        <is>
          <t>API 集成</t>
        </is>
      </c>
      <c r="D7" s="2" t="n">
        <v>15</v>
      </c>
      <c r="E7" s="2" t="inlineStr">
        <is>
          <t>13:35</t>
        </is>
      </c>
      <c r="F7" s="2" t="inlineStr">
        <is>
          <t>13:50</t>
        </is>
      </c>
      <c r="G7" s="2" t="inlineStr"/>
      <c r="H7" s="2" t="inlineStr"/>
      <c r="I7" s="2" t="inlineStr"/>
      <c r="J7" s="2" t="inlineStr">
        <is>
          <t>未开始</t>
        </is>
      </c>
      <c r="K7" s="2" t="n">
        <v>0</v>
      </c>
    </row>
    <row r="8">
      <c r="A8" s="2" t="inlineStr">
        <is>
          <t>T6</t>
        </is>
      </c>
      <c r="B8" s="2" t="inlineStr">
        <is>
          <t>分离器位置 UI</t>
        </is>
      </c>
      <c r="C8" s="2" t="inlineStr">
        <is>
          <t>前端开发</t>
        </is>
      </c>
      <c r="D8" s="2" t="n">
        <v>15</v>
      </c>
      <c r="E8" s="2" t="inlineStr">
        <is>
          <t>13:50</t>
        </is>
      </c>
      <c r="F8" s="2" t="inlineStr">
        <is>
          <t>14:05</t>
        </is>
      </c>
      <c r="G8" s="2" t="inlineStr"/>
      <c r="H8" s="2" t="inlineStr"/>
      <c r="I8" s="2" t="inlineStr"/>
      <c r="J8" s="2" t="inlineStr">
        <is>
          <t>未开始</t>
        </is>
      </c>
      <c r="K8" s="2" t="n">
        <v>0</v>
      </c>
    </row>
    <row r="9">
      <c r="A9" s="2" t="inlineStr">
        <is>
          <t>T7</t>
        </is>
      </c>
      <c r="B9" s="2" t="inlineStr">
        <is>
          <t>涡轮设计表单</t>
        </is>
      </c>
      <c r="C9" s="2" t="inlineStr">
        <is>
          <t>前端开发</t>
        </is>
      </c>
      <c r="D9" s="2" t="n">
        <v>15</v>
      </c>
      <c r="E9" s="2" t="inlineStr">
        <is>
          <t>14:05</t>
        </is>
      </c>
      <c r="F9" s="2" t="inlineStr">
        <is>
          <t>14:20</t>
        </is>
      </c>
      <c r="G9" s="2" t="inlineStr"/>
      <c r="H9" s="2" t="inlineStr"/>
      <c r="I9" s="2" t="inlineStr"/>
      <c r="J9" s="2" t="inlineStr">
        <is>
          <t>未开始</t>
        </is>
      </c>
      <c r="K9" s="2" t="n">
        <v>0</v>
      </c>
    </row>
    <row r="10">
      <c r="A10" s="2" t="inlineStr">
        <is>
          <t>T8</t>
        </is>
      </c>
      <c r="B10" s="2" t="inlineStr">
        <is>
          <t>结果面板联动</t>
        </is>
      </c>
      <c r="C10" s="2" t="inlineStr">
        <is>
          <t>前端开发</t>
        </is>
      </c>
      <c r="D10" s="2" t="n">
        <v>10</v>
      </c>
      <c r="E10" s="2" t="inlineStr">
        <is>
          <t>14:20</t>
        </is>
      </c>
      <c r="F10" s="2" t="inlineStr">
        <is>
          <t>14:30</t>
        </is>
      </c>
      <c r="G10" s="2" t="inlineStr"/>
      <c r="H10" s="2" t="inlineStr"/>
      <c r="I10" s="2" t="inlineStr"/>
      <c r="J10" s="2" t="inlineStr">
        <is>
          <t>未开始</t>
        </is>
      </c>
      <c r="K10" s="2" t="n">
        <v>0</v>
      </c>
    </row>
    <row r="11">
      <c r="A11" s="2" t="inlineStr">
        <is>
          <t>T9</t>
        </is>
      </c>
      <c r="B11" s="2" t="inlineStr">
        <is>
          <t>分离器 PDF/Excel</t>
        </is>
      </c>
      <c r="C11" s="2" t="inlineStr">
        <is>
          <t>报告导出</t>
        </is>
      </c>
      <c r="D11" s="2" t="n">
        <v>10</v>
      </c>
      <c r="E11" s="2" t="inlineStr">
        <is>
          <t>14:30</t>
        </is>
      </c>
      <c r="F11" s="2" t="inlineStr">
        <is>
          <t>14:40</t>
        </is>
      </c>
      <c r="G11" s="2" t="inlineStr"/>
      <c r="H11" s="2" t="inlineStr"/>
      <c r="I11" s="2" t="inlineStr"/>
      <c r="J11" s="2" t="inlineStr">
        <is>
          <t>未开始</t>
        </is>
      </c>
      <c r="K11" s="2" t="n">
        <v>0</v>
      </c>
    </row>
    <row r="12">
      <c r="A12" s="2" t="inlineStr">
        <is>
          <t>T10</t>
        </is>
      </c>
      <c r="B12" s="2" t="inlineStr">
        <is>
          <t>涡轮设计 PDF/Excel</t>
        </is>
      </c>
      <c r="C12" s="2" t="inlineStr">
        <is>
          <t>报告导出</t>
        </is>
      </c>
      <c r="D12" s="2" t="n">
        <v>10</v>
      </c>
      <c r="E12" s="2" t="inlineStr">
        <is>
          <t>14:35</t>
        </is>
      </c>
      <c r="F12" s="2" t="inlineStr">
        <is>
          <t>14:45</t>
        </is>
      </c>
      <c r="G12" s="2" t="inlineStr"/>
      <c r="H12" s="2" t="inlineStr"/>
      <c r="I12" s="2" t="inlineStr"/>
      <c r="J12" s="2" t="inlineStr">
        <is>
          <t>未开始</t>
        </is>
      </c>
      <c r="K12" s="2" t="n">
        <v>0</v>
      </c>
    </row>
    <row r="13">
      <c r="A13" s="2" t="inlineStr">
        <is>
          <t>T11</t>
        </is>
      </c>
      <c r="B13" s="2" t="inlineStr">
        <is>
          <t>后端单元测试</t>
        </is>
      </c>
      <c r="C13" s="2" t="inlineStr">
        <is>
          <t>测试调试</t>
        </is>
      </c>
      <c r="D13" s="2" t="n">
        <v>10</v>
      </c>
      <c r="E13" s="2" t="inlineStr">
        <is>
          <t>14:30</t>
        </is>
      </c>
      <c r="F13" s="2" t="inlineStr">
        <is>
          <t>14:40</t>
        </is>
      </c>
      <c r="G13" s="2" t="inlineStr"/>
      <c r="H13" s="2" t="inlineStr"/>
      <c r="I13" s="2" t="inlineStr"/>
      <c r="J13" s="2" t="inlineStr">
        <is>
          <t>未开始</t>
        </is>
      </c>
      <c r="K13" s="2" t="n">
        <v>0</v>
      </c>
    </row>
    <row r="14">
      <c r="A14" s="2" t="inlineStr">
        <is>
          <t>T12</t>
        </is>
      </c>
      <c r="B14" s="2" t="inlineStr">
        <is>
          <t>全链路验收</t>
        </is>
      </c>
      <c r="C14" s="2" t="inlineStr">
        <is>
          <t>测试调试</t>
        </is>
      </c>
      <c r="D14" s="2" t="n">
        <v>5</v>
      </c>
      <c r="E14" s="2" t="inlineStr">
        <is>
          <t>14:40</t>
        </is>
      </c>
      <c r="F14" s="2" t="inlineStr">
        <is>
          <t>14:45</t>
        </is>
      </c>
      <c r="G14" s="2" t="inlineStr"/>
      <c r="H14" s="2" t="inlineStr"/>
      <c r="I14" s="2" t="inlineStr"/>
      <c r="J14" s="2" t="inlineStr">
        <is>
          <t>未开始</t>
        </is>
      </c>
      <c r="K14" s="2" t="n">
        <v>0</v>
      </c>
    </row>
  </sheetData>
  <dataValidations count="1">
    <dataValidation sqref="J2:J14" showDropDown="0" showInputMessage="0" showErrorMessage="0" allowBlank="1" errorTitle="无效状态" error="请选择有效的状态" type="list">
      <formula1>"未开始，进行中，已完成"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t="inlineStr">
        <is>
          <t>V2.0 开发任务 - 积分规则</t>
        </is>
      </c>
      <c r="B1" t="inlineStr"/>
    </row>
    <row r="2">
      <c r="A2" t="inlineStr"/>
      <c r="B2" t="inlineStr"/>
    </row>
    <row r="3">
      <c r="A3" t="inlineStr">
        <is>
          <t>积分计算规则：</t>
        </is>
      </c>
      <c r="B3" t="inlineStr"/>
    </row>
    <row r="4">
      <c r="A4" t="inlineStr">
        <is>
          <t>快速完成（实际耗时 ≤ 0.5 × 预计耗时）</t>
        </is>
      </c>
      <c r="B4" t="inlineStr">
        <is>
          <t>+1.5 分</t>
        </is>
      </c>
    </row>
    <row r="5">
      <c r="A5" t="inlineStr">
        <is>
          <t>按时完成（0.5 × 预计耗时 &lt; 实际耗时 ≤ 预计耗时）</t>
        </is>
      </c>
      <c r="B5" t="inlineStr">
        <is>
          <t>+1 分</t>
        </is>
      </c>
    </row>
    <row r="6">
      <c r="A6" t="inlineStr">
        <is>
          <t>超时完成（预计耗时 &lt; 实际耗时 ≤ 2 × 预计耗时）</t>
        </is>
      </c>
      <c r="B6" t="inlineStr">
        <is>
          <t>+0.5 分</t>
        </is>
      </c>
    </row>
    <row r="7">
      <c r="A7" t="inlineStr">
        <is>
          <t>严重超时（实际耗时 &gt; 2 × 预计耗时）</t>
        </is>
      </c>
      <c r="B7" t="inlineStr">
        <is>
          <t>-1 分</t>
        </is>
      </c>
    </row>
    <row r="8">
      <c r="A8" t="inlineStr"/>
      <c r="B8" t="inlineStr"/>
    </row>
    <row r="9">
      <c r="A9" t="inlineStr">
        <is>
          <t>积分公式（K 列）：</t>
        </is>
      </c>
      <c r="B9" t="inlineStr"/>
    </row>
    <row r="10">
      <c r="A10" t="inlineStr">
        <is>
          <t>在 K2 单元格输入以下公式，然后向下填充：</t>
        </is>
      </c>
      <c r="B10" t="inlineStr"/>
    </row>
    <row r="11">
      <c r="A11">
        <f>IF(I2="", 0, IF(I2&lt;=D2*0.5, 1.5, IF(I2&lt;=D2, 1, IF(I2&lt;=D2*2, 0.5, -1))))</f>
        <v/>
      </c>
      <c r="B11" t="inlineStr"/>
    </row>
    <row r="12">
      <c r="A12" t="inlineStr"/>
      <c r="B12" t="inlineStr"/>
    </row>
    <row r="13">
      <c r="A13" t="inlineStr">
        <is>
          <t>总分计算：</t>
        </is>
      </c>
      <c r="B13">
        <f>SUM(K2:K14)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t="inlineStr">
        <is>
          <t>V2.0 开发任务 - 统计摘要</t>
        </is>
      </c>
      <c r="B1" t="inlineStr"/>
    </row>
    <row r="2">
      <c r="A2" t="inlineStr"/>
      <c r="B2" t="inlineStr"/>
    </row>
    <row r="3">
      <c r="A3" t="inlineStr">
        <is>
          <t>任务总数：</t>
        </is>
      </c>
      <c r="B3">
        <f>COUNTA(A2:A14)-1</f>
        <v/>
      </c>
    </row>
    <row r="4">
      <c r="A4" t="inlineStr">
        <is>
          <t>已完成：</t>
        </is>
      </c>
      <c r="B4">
        <f>COUNTIF(J2:J14,"已完成")</f>
        <v/>
      </c>
    </row>
    <row r="5">
      <c r="A5" t="inlineStr">
        <is>
          <t>进行中：</t>
        </is>
      </c>
      <c r="B5">
        <f>COUNTIF(J2:J14,"进行中")</f>
        <v/>
      </c>
    </row>
    <row r="6">
      <c r="A6" t="inlineStr">
        <is>
          <t>未开始：</t>
        </is>
      </c>
      <c r="B6">
        <f>COUNTIF(J2:J14,"未开始")</f>
        <v/>
      </c>
    </row>
    <row r="7">
      <c r="A7" t="inlineStr"/>
      <c r="B7" t="inlineStr"/>
    </row>
    <row r="8">
      <c r="A8" t="inlineStr">
        <is>
          <t>总积分：</t>
        </is>
      </c>
      <c r="B8">
        <f>SUM(K2:K14)</f>
        <v/>
      </c>
    </row>
    <row r="9">
      <c r="A9" t="inlineStr">
        <is>
          <t>平均积分：</t>
        </is>
      </c>
      <c r="B9">
        <f>AVERAGE(K2:K14)</f>
        <v/>
      </c>
    </row>
    <row r="10">
      <c r="A10" t="inlineStr"/>
      <c r="B10" t="inlineStr"/>
    </row>
    <row r="11">
      <c r="A11" t="inlineStr">
        <is>
          <t>阶段统计：</t>
        </is>
      </c>
      <c r="B11" t="inlineStr"/>
    </row>
    <row r="12">
      <c r="A12" t="inlineStr">
        <is>
          <t>后端开发积分：</t>
        </is>
      </c>
      <c r="B12">
        <f>SUMIF(C2:C14,"后端开发",K2:K14)</f>
        <v/>
      </c>
    </row>
    <row r="13">
      <c r="A13" t="inlineStr">
        <is>
          <t>API 集成积分：</t>
        </is>
      </c>
      <c r="B13">
        <f>SUMIF(C2:C14,"API 集成",K2:K14)</f>
        <v/>
      </c>
    </row>
    <row r="14">
      <c r="A14" t="inlineStr">
        <is>
          <t>前端开发积分：</t>
        </is>
      </c>
      <c r="B14">
        <f>SUMIF(C2:C14,"前端开发",K2:K14)</f>
        <v/>
      </c>
    </row>
    <row r="15">
      <c r="A15" t="inlineStr">
        <is>
          <t>报告导出积分：</t>
        </is>
      </c>
      <c r="B15">
        <f>SUMIF(C2:C14,"报告导出",K2:K14)</f>
        <v/>
      </c>
    </row>
    <row r="16">
      <c r="A16" t="inlineStr">
        <is>
          <t>测试调试积分：</t>
        </is>
      </c>
      <c r="B16">
        <f>SUMIF(C2:C14,"测试调试",K2:K14)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2026-03-09T04:13:47Z</dcterms:created>
  <dcterms:modified xmlns:dcterms="http://purl.org/dc/terms/" xmlns:xsi="http://www.w3.org/2001/XMLSchema-instance" xsi:type="dcterms:W3CDTF">2026-03-09T04:13:47Z</dcterms:modified>
</cp:coreProperties>
</file>